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esktop\ADSO\DIAGRAMA GANTT\"/>
    </mc:Choice>
  </mc:AlternateContent>
  <xr:revisionPtr revIDLastSave="0" documentId="13_ncr:1_{72D49471-FB5C-43CD-A70D-B6CF7AC63D26}" xr6:coauthVersionLast="47" xr6:coauthVersionMax="47" xr10:uidLastSave="{00000000-0000-0000-0000-000000000000}"/>
  <bookViews>
    <workbookView xWindow="-120" yWindow="-120" windowWidth="29040" windowHeight="15720" activeTab="1" xr2:uid="{E18EEB3C-4088-4CFA-B42A-A8992197D0B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F7" i="2"/>
  <c r="E7" i="2"/>
  <c r="D7" i="2"/>
  <c r="B11" i="2"/>
  <c r="C11" i="2"/>
  <c r="D11" i="2"/>
  <c r="E11" i="2"/>
  <c r="G11" i="2"/>
  <c r="C7" i="2"/>
  <c r="C10" i="2"/>
  <c r="C9" i="2"/>
  <c r="C8" i="2"/>
  <c r="C6" i="2"/>
  <c r="C5" i="2"/>
  <c r="C4" i="2"/>
  <c r="C3" i="2"/>
  <c r="C2" i="2"/>
  <c r="D6" i="2"/>
  <c r="D5" i="2"/>
  <c r="D4" i="2"/>
  <c r="D3" i="2"/>
  <c r="D2" i="2"/>
  <c r="E4" i="2"/>
  <c r="E3" i="2"/>
  <c r="E2" i="2"/>
  <c r="G2" i="2"/>
  <c r="G3" i="2"/>
  <c r="G4" i="2"/>
  <c r="E5" i="2"/>
  <c r="G5" i="2"/>
  <c r="F5" i="2" s="1"/>
  <c r="I5" i="2" s="1"/>
  <c r="H5" i="2"/>
  <c r="E6" i="2"/>
  <c r="G6" i="2"/>
  <c r="F6" i="2" s="1"/>
  <c r="I6" i="2" s="1"/>
  <c r="H6" i="2"/>
  <c r="D8" i="2"/>
  <c r="E8" i="2"/>
  <c r="G8" i="2"/>
  <c r="D9" i="2"/>
  <c r="E9" i="2"/>
  <c r="G9" i="2"/>
  <c r="D10" i="2"/>
  <c r="E10" i="2"/>
  <c r="G10" i="2"/>
  <c r="F10" i="2" s="1"/>
  <c r="I10" i="2" s="1"/>
  <c r="H10" i="2"/>
  <c r="E15" i="1"/>
  <c r="E12" i="1"/>
  <c r="E9" i="1"/>
  <c r="E10" i="1"/>
  <c r="D16" i="1"/>
  <c r="D15" i="1"/>
  <c r="D13" i="1"/>
  <c r="D12" i="1"/>
  <c r="D11" i="1"/>
  <c r="D10" i="1"/>
  <c r="D9" i="1"/>
  <c r="C17" i="1"/>
  <c r="C16" i="1"/>
  <c r="C15" i="1"/>
  <c r="G15" i="1" s="1"/>
  <c r="C14" i="1"/>
  <c r="C13" i="1"/>
  <c r="C12" i="1"/>
  <c r="C11" i="1"/>
  <c r="C10" i="1"/>
  <c r="C9" i="1"/>
  <c r="E16" i="1"/>
  <c r="E14" i="1"/>
  <c r="B17" i="1"/>
  <c r="D17" i="1" s="1"/>
  <c r="F6" i="1"/>
  <c r="F5" i="1"/>
  <c r="F3" i="1"/>
  <c r="D6" i="1"/>
  <c r="D5" i="1"/>
  <c r="D3" i="1"/>
  <c r="C3" i="1" s="1"/>
  <c r="E13" i="1"/>
  <c r="E11" i="1"/>
  <c r="D14" i="1"/>
  <c r="H7" i="2" l="1"/>
  <c r="H11" i="2" s="1"/>
  <c r="I7" i="2"/>
  <c r="I11" i="2" s="1"/>
  <c r="H2" i="2"/>
  <c r="F2" i="2"/>
  <c r="H3" i="2"/>
  <c r="F3" i="2"/>
  <c r="I3" i="2" s="1"/>
  <c r="H4" i="2"/>
  <c r="F4" i="2"/>
  <c r="I4" i="2" s="1"/>
  <c r="F8" i="2"/>
  <c r="I8" i="2" s="1"/>
  <c r="H8" i="2"/>
  <c r="F9" i="2"/>
  <c r="I9" i="2" s="1"/>
  <c r="H9" i="2"/>
  <c r="G16" i="1"/>
  <c r="H15" i="1"/>
  <c r="F15" i="1"/>
  <c r="I15" i="1" s="1"/>
  <c r="H16" i="1"/>
  <c r="F16" i="1"/>
  <c r="I16" i="1" s="1"/>
  <c r="E17" i="1"/>
  <c r="G9" i="1"/>
  <c r="G10" i="1"/>
  <c r="F10" i="1" s="1"/>
  <c r="C6" i="1"/>
  <c r="C5" i="1"/>
  <c r="I2" i="2" l="1"/>
  <c r="F11" i="2"/>
  <c r="I10" i="1"/>
  <c r="H10" i="1"/>
  <c r="H9" i="1"/>
  <c r="F9" i="1"/>
  <c r="I9" i="1" s="1"/>
  <c r="G12" i="1"/>
  <c r="G14" i="1"/>
  <c r="F14" i="1" s="1"/>
  <c r="G11" i="1"/>
  <c r="F11" i="1" s="1"/>
  <c r="G13" i="1"/>
  <c r="G17" i="1"/>
  <c r="F17" i="1" l="1"/>
  <c r="I17" i="1" s="1"/>
  <c r="H17" i="1"/>
  <c r="H12" i="1"/>
  <c r="F12" i="1"/>
  <c r="I12" i="1" s="1"/>
  <c r="H14" i="1"/>
  <c r="I14" i="1"/>
  <c r="H11" i="1"/>
  <c r="I11" i="1"/>
  <c r="H13" i="1"/>
  <c r="F13" i="1"/>
  <c r="I13" i="1" s="1"/>
</calcChain>
</file>

<file path=xl/sharedStrings.xml><?xml version="1.0" encoding="utf-8"?>
<sst xmlns="http://schemas.openxmlformats.org/spreadsheetml/2006/main" count="49" uniqueCount="37">
  <si>
    <t>Costo Mensual</t>
  </si>
  <si>
    <t>Concepto</t>
  </si>
  <si>
    <t>% o Base</t>
  </si>
  <si>
    <t>Diario (30 días)</t>
  </si>
  <si>
    <t>Mensual</t>
  </si>
  <si>
    <t>Anual (12 meses)</t>
  </si>
  <si>
    <t>Auxilio de Transporte</t>
  </si>
  <si>
    <t>Monto fijo</t>
  </si>
  <si>
    <t>Prestaciones Sociales</t>
  </si>
  <si>
    <t>21,31% aprox.</t>
  </si>
  <si>
    <t>Seguridad Social Empleador</t>
  </si>
  <si>
    <t>21,022% (s/Salario)</t>
  </si>
  <si>
    <t>Cargo / Rol</t>
  </si>
  <si>
    <t>Ingreso Mensual</t>
  </si>
  <si>
    <t>Prestaciones</t>
  </si>
  <si>
    <t>Seguridad Social</t>
  </si>
  <si>
    <t>Parafiscales</t>
  </si>
  <si>
    <t>Costo Diario</t>
  </si>
  <si>
    <t>Costo Anual</t>
  </si>
  <si>
    <t>Coordinador</t>
  </si>
  <si>
    <t>Analista 1</t>
  </si>
  <si>
    <t>Analista 2</t>
  </si>
  <si>
    <t>Diseñador UI/UX</t>
  </si>
  <si>
    <t>Desarrollador Backend</t>
  </si>
  <si>
    <t>TOTAL EQUIPO</t>
  </si>
  <si>
    <t>Hora (8 horas)</t>
  </si>
  <si>
    <t>COSTO HORA</t>
  </si>
  <si>
    <t>Project Manager</t>
  </si>
  <si>
    <t>Desarrollador Frontend</t>
  </si>
  <si>
    <t>Tester</t>
  </si>
  <si>
    <t>Prestaciones (21.83%)</t>
  </si>
  <si>
    <t>Seguridad Social (12.52%)</t>
  </si>
  <si>
    <t>Parafiscales (4%)</t>
  </si>
  <si>
    <t>Costo Mensual Total</t>
  </si>
  <si>
    <t>Costo Hora</t>
  </si>
  <si>
    <t>Arquitecto 1</t>
  </si>
  <si>
    <t>Arquitecto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</si>
</sst>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8" fontId="0" fillId="0" borderId="0" xfId="0" applyNumberFormat="1"/>
    <xf numFmtId="0" fontId="1" fillId="0" borderId="1" xfId="0" applyFont="1" applyBorder="1"/>
    <xf numFmtId="8" fontId="0" fillId="0" borderId="1" xfId="0" applyNumberFormat="1" applyBorder="1"/>
    <xf numFmtId="0" fontId="3" fillId="0" borderId="1" xfId="0" applyFont="1" applyBorder="1" applyAlignment="1">
      <alignment horizontal="left" vertical="center" wrapText="1" indent="1"/>
    </xf>
    <xf numFmtId="8" fontId="2" fillId="0" borderId="1" xfId="0" applyNumberFormat="1" applyFont="1" applyBorder="1" applyAlignment="1">
      <alignment horizontal="left" vertical="center" wrapText="1" indent="1"/>
    </xf>
    <xf numFmtId="0" fontId="0" fillId="0" borderId="1" xfId="0" applyBorder="1"/>
    <xf numFmtId="6" fontId="0" fillId="0" borderId="1" xfId="0" applyNumberFormat="1" applyBorder="1"/>
    <xf numFmtId="6" fontId="1" fillId="0" borderId="1" xfId="0" applyNumberFormat="1" applyFont="1" applyBorder="1"/>
    <xf numFmtId="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C72E-5209-4C0E-8F99-354F7E4A97BC}">
  <dimension ref="A1:I17"/>
  <sheetViews>
    <sheetView workbookViewId="0">
      <selection activeCell="H4" sqref="H4"/>
    </sheetView>
  </sheetViews>
  <sheetFormatPr baseColWidth="10" defaultRowHeight="15" x14ac:dyDescent="0.25"/>
  <cols>
    <col min="1" max="1" width="37.7109375" customWidth="1"/>
    <col min="2" max="2" width="22.42578125" customWidth="1"/>
    <col min="3" max="3" width="23.28515625" customWidth="1"/>
    <col min="4" max="4" width="22.5703125" customWidth="1"/>
    <col min="5" max="5" width="23" customWidth="1"/>
    <col min="6" max="6" width="24.140625" customWidth="1"/>
    <col min="7" max="7" width="16.140625" customWidth="1"/>
    <col min="8" max="8" width="15.42578125" customWidth="1"/>
    <col min="9" max="9" width="13.42578125" customWidth="1"/>
  </cols>
  <sheetData>
    <row r="1" spans="1:9" ht="24" customHeight="1" x14ac:dyDescent="0.25">
      <c r="A1" s="4" t="s">
        <v>1</v>
      </c>
      <c r="B1" s="4" t="s">
        <v>2</v>
      </c>
      <c r="C1" s="6" t="s">
        <v>25</v>
      </c>
      <c r="D1" s="4" t="s">
        <v>3</v>
      </c>
      <c r="E1" s="4" t="s">
        <v>4</v>
      </c>
      <c r="F1" s="4" t="s">
        <v>5</v>
      </c>
    </row>
    <row r="2" spans="1:9" ht="14.25" customHeight="1" x14ac:dyDescent="0.25"/>
    <row r="3" spans="1:9" x14ac:dyDescent="0.25">
      <c r="A3" s="4" t="s">
        <v>6</v>
      </c>
      <c r="B3" s="4" t="s">
        <v>7</v>
      </c>
      <c r="C3" s="3">
        <f>D3/8</f>
        <v>1037.8958333333333</v>
      </c>
      <c r="D3" s="5">
        <f>E3/30</f>
        <v>8303.1666666666661</v>
      </c>
      <c r="E3" s="5">
        <v>249095</v>
      </c>
      <c r="F3" s="5">
        <f>E3*12</f>
        <v>2989140</v>
      </c>
    </row>
    <row r="5" spans="1:9" x14ac:dyDescent="0.25">
      <c r="A5" s="4" t="s">
        <v>8</v>
      </c>
      <c r="B5" s="4" t="s">
        <v>9</v>
      </c>
      <c r="C5" s="3">
        <f>D5/8</f>
        <v>1776.2</v>
      </c>
      <c r="D5" s="5">
        <f>E5/30</f>
        <v>14209.6</v>
      </c>
      <c r="E5" s="5">
        <v>426288</v>
      </c>
      <c r="F5" s="5">
        <f>E5*12</f>
        <v>5115456</v>
      </c>
    </row>
    <row r="6" spans="1:9" x14ac:dyDescent="0.25">
      <c r="A6" s="4" t="s">
        <v>10</v>
      </c>
      <c r="B6" s="4" t="s">
        <v>11</v>
      </c>
      <c r="C6" s="3">
        <f>D6/8</f>
        <v>1533.65</v>
      </c>
      <c r="D6" s="5">
        <f>E6/30</f>
        <v>12269.2</v>
      </c>
      <c r="E6" s="5">
        <v>368076</v>
      </c>
      <c r="F6" s="5">
        <f>E6*12</f>
        <v>4416912</v>
      </c>
    </row>
    <row r="8" spans="1:9" x14ac:dyDescent="0.25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0</v>
      </c>
      <c r="H8" s="2" t="s">
        <v>18</v>
      </c>
      <c r="I8" s="2" t="s">
        <v>26</v>
      </c>
    </row>
    <row r="9" spans="1:9" x14ac:dyDescent="0.25">
      <c r="A9" s="2" t="s">
        <v>27</v>
      </c>
      <c r="B9" s="8">
        <v>6000000</v>
      </c>
      <c r="C9" s="8">
        <f t="shared" ref="C9:C17" si="0">B9*($E$5/$E$3)</f>
        <v>10268082.458499769</v>
      </c>
      <c r="D9" s="9">
        <f>(B9-$E$3)*0.21022</f>
        <v>1208955.2490999999</v>
      </c>
      <c r="E9" s="9">
        <f>(B9-$E$3)*0.09</f>
        <v>517581.44999999995</v>
      </c>
      <c r="F9" s="8">
        <f>G9/30</f>
        <v>599820.63858665898</v>
      </c>
      <c r="G9" s="8">
        <f>SUM(B9:E9)</f>
        <v>17994619.15759977</v>
      </c>
      <c r="H9" s="8">
        <f>G9*12</f>
        <v>215935429.89119723</v>
      </c>
      <c r="I9" s="8">
        <f t="shared" ref="I9:I17" si="1">F9/8</f>
        <v>74977.579823332373</v>
      </c>
    </row>
    <row r="10" spans="1:9" x14ac:dyDescent="0.25">
      <c r="A10" s="2" t="s">
        <v>19</v>
      </c>
      <c r="B10" s="7">
        <v>4500000</v>
      </c>
      <c r="C10" s="7">
        <f t="shared" si="0"/>
        <v>7701061.8438748261</v>
      </c>
      <c r="D10" s="7">
        <f>(B10-$E$3)*0.21022</f>
        <v>893625.24910000002</v>
      </c>
      <c r="E10" s="7">
        <f>(B10-$E$3)*0.09</f>
        <v>382581.45</v>
      </c>
      <c r="F10" s="3">
        <f>G10/30</f>
        <v>449242.28476582753</v>
      </c>
      <c r="G10" s="7">
        <f>SUM(B10:E10)</f>
        <v>13477268.542974826</v>
      </c>
      <c r="H10" s="7">
        <f>G10*12</f>
        <v>161727222.5156979</v>
      </c>
      <c r="I10" s="3">
        <f t="shared" si="1"/>
        <v>56155.285595728441</v>
      </c>
    </row>
    <row r="11" spans="1:9" x14ac:dyDescent="0.25">
      <c r="A11" s="2" t="s">
        <v>20</v>
      </c>
      <c r="B11" s="7">
        <v>2800000</v>
      </c>
      <c r="C11" s="7">
        <f t="shared" si="0"/>
        <v>4791771.8139665583</v>
      </c>
      <c r="D11" s="7">
        <f>(B11-$E$3)*0.21022</f>
        <v>536251.24910000002</v>
      </c>
      <c r="E11" s="1">
        <f>(B10-$E$3)*0.09</f>
        <v>382581.45</v>
      </c>
      <c r="F11" s="3">
        <f>G11/30</f>
        <v>283686.81710221863</v>
      </c>
      <c r="G11" s="7">
        <f t="shared" ref="G11:G17" si="2">SUM(B11:E11)</f>
        <v>8510604.5130665582</v>
      </c>
      <c r="H11" s="7">
        <f t="shared" ref="H11:H17" si="3">G11*12</f>
        <v>102127254.15679869</v>
      </c>
      <c r="I11" s="3">
        <f t="shared" si="1"/>
        <v>35460.852137777329</v>
      </c>
    </row>
    <row r="12" spans="1:9" x14ac:dyDescent="0.25">
      <c r="A12" s="2" t="s">
        <v>21</v>
      </c>
      <c r="B12" s="7">
        <v>2800000</v>
      </c>
      <c r="C12" s="7">
        <f t="shared" si="0"/>
        <v>4791771.8139665583</v>
      </c>
      <c r="D12" s="7">
        <f>(B12-$E$3)*0.21022</f>
        <v>536251.24910000002</v>
      </c>
      <c r="E12" s="7">
        <f>(B11-$E$3)*0.09</f>
        <v>229581.44999999998</v>
      </c>
      <c r="F12" s="3">
        <f t="shared" ref="F12:F17" si="4">G12/30</f>
        <v>278586.81710221863</v>
      </c>
      <c r="G12" s="7">
        <f t="shared" si="2"/>
        <v>8357604.5130665582</v>
      </c>
      <c r="H12" s="7">
        <f t="shared" si="3"/>
        <v>100291254.15679869</v>
      </c>
      <c r="I12" s="3">
        <f t="shared" si="1"/>
        <v>34823.352137777329</v>
      </c>
    </row>
    <row r="13" spans="1:9" x14ac:dyDescent="0.25">
      <c r="A13" s="2" t="s">
        <v>22</v>
      </c>
      <c r="B13" s="7">
        <v>3300000</v>
      </c>
      <c r="C13" s="7">
        <f t="shared" si="0"/>
        <v>5647445.3521748725</v>
      </c>
      <c r="D13" s="7">
        <f>(B13-$E$3)*0.21022</f>
        <v>641361.24910000002</v>
      </c>
      <c r="E13" s="7">
        <f>(B13-$E$3)*0.09</f>
        <v>274581.45</v>
      </c>
      <c r="F13" s="3">
        <f t="shared" si="4"/>
        <v>328779.60170916241</v>
      </c>
      <c r="G13" s="7">
        <f t="shared" si="2"/>
        <v>9863388.0512748715</v>
      </c>
      <c r="H13" s="7">
        <f t="shared" si="3"/>
        <v>118360656.61529845</v>
      </c>
      <c r="I13" s="3">
        <f t="shared" si="1"/>
        <v>41097.450213645301</v>
      </c>
    </row>
    <row r="14" spans="1:9" x14ac:dyDescent="0.25">
      <c r="A14" s="2" t="s">
        <v>23</v>
      </c>
      <c r="B14" s="7">
        <v>4000000</v>
      </c>
      <c r="C14" s="7">
        <f t="shared" si="0"/>
        <v>6845388.3056665128</v>
      </c>
      <c r="D14" s="7">
        <f t="shared" ref="D14" si="5">(B14-$E$3)*0.21022</f>
        <v>788515.24910000002</v>
      </c>
      <c r="E14" s="7">
        <f>(B14-$E$3)*0.09</f>
        <v>337581.45</v>
      </c>
      <c r="F14" s="3">
        <f>G14/30</f>
        <v>399049.50015888375</v>
      </c>
      <c r="G14" s="7">
        <f>SUM(B14:E14)</f>
        <v>11971485.004766513</v>
      </c>
      <c r="H14" s="7">
        <f t="shared" si="3"/>
        <v>143657820.05719817</v>
      </c>
      <c r="I14" s="3">
        <f t="shared" si="1"/>
        <v>49881.187519860468</v>
      </c>
    </row>
    <row r="15" spans="1:9" x14ac:dyDescent="0.25">
      <c r="A15" s="2" t="s">
        <v>28</v>
      </c>
      <c r="B15" s="7">
        <v>3200000</v>
      </c>
      <c r="C15" s="7">
        <f t="shared" si="0"/>
        <v>5476310.6445332095</v>
      </c>
      <c r="D15" s="7">
        <f>(B15-$E$3)*0.21022</f>
        <v>620339.24910000002</v>
      </c>
      <c r="E15" s="7">
        <f>(B15-$E$3)*0.09</f>
        <v>265581.45</v>
      </c>
      <c r="F15" s="3">
        <f>G15/30</f>
        <v>318741.04478777363</v>
      </c>
      <c r="G15" s="7">
        <f>SUM(B15:E15)</f>
        <v>9562231.3436332084</v>
      </c>
      <c r="H15" s="7">
        <f>G15*12</f>
        <v>114746776.1235985</v>
      </c>
      <c r="I15" s="3">
        <f t="shared" si="1"/>
        <v>39842.630598471704</v>
      </c>
    </row>
    <row r="16" spans="1:9" x14ac:dyDescent="0.25">
      <c r="A16" s="2" t="s">
        <v>29</v>
      </c>
      <c r="B16" s="7">
        <v>3500000</v>
      </c>
      <c r="C16" s="7">
        <f t="shared" si="0"/>
        <v>5989714.7674581986</v>
      </c>
      <c r="D16" s="7">
        <f>(B16-$E$3)*0.21022</f>
        <v>683405.24910000002</v>
      </c>
      <c r="E16" s="7">
        <f>(B16-$E$3)*0.09</f>
        <v>292581.45</v>
      </c>
      <c r="F16" s="3">
        <f>G16/30</f>
        <v>348856.71555193991</v>
      </c>
      <c r="G16" s="7">
        <f>SUM(B16:E16)</f>
        <v>10465701.466558198</v>
      </c>
      <c r="H16" s="7">
        <f>G16*12</f>
        <v>125588417.59869838</v>
      </c>
      <c r="I16" s="3">
        <f t="shared" si="1"/>
        <v>43607.089443992489</v>
      </c>
    </row>
    <row r="17" spans="1:9" x14ac:dyDescent="0.25">
      <c r="A17" s="2" t="s">
        <v>24</v>
      </c>
      <c r="B17" s="7">
        <f>B9+B10+B11+B12+B13+B14+B15+B16</f>
        <v>30100000</v>
      </c>
      <c r="C17" s="7">
        <f t="shared" si="0"/>
        <v>51511547.000140503</v>
      </c>
      <c r="D17" s="7">
        <f>(B17-$E$3)*0.21022</f>
        <v>6275257.2490999997</v>
      </c>
      <c r="E17" s="7">
        <f>(B17-$E$3)*0.09</f>
        <v>2686581.4499999997</v>
      </c>
      <c r="F17" s="3">
        <f t="shared" si="4"/>
        <v>3019112.8566413503</v>
      </c>
      <c r="G17" s="7">
        <f t="shared" si="2"/>
        <v>90573385.699240506</v>
      </c>
      <c r="H17" s="7">
        <f t="shared" si="3"/>
        <v>1086880628.3908861</v>
      </c>
      <c r="I17" s="3">
        <f t="shared" si="1"/>
        <v>377389.10708016879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EB38-D1F4-4066-B624-73DD337AEE91}">
  <dimension ref="A1:I11"/>
  <sheetViews>
    <sheetView tabSelected="1" workbookViewId="0">
      <selection activeCell="K16" sqref="K16"/>
    </sheetView>
  </sheetViews>
  <sheetFormatPr baseColWidth="10" defaultRowHeight="15" x14ac:dyDescent="0.25"/>
  <cols>
    <col min="1" max="1" width="24" customWidth="1"/>
    <col min="2" max="2" width="28" customWidth="1"/>
    <col min="3" max="3" width="20.28515625" customWidth="1"/>
    <col min="4" max="4" width="23.85546875" customWidth="1"/>
    <col min="5" max="5" width="20.28515625" customWidth="1"/>
    <col min="6" max="6" width="19.42578125" customWidth="1"/>
    <col min="7" max="7" width="18.85546875" customWidth="1"/>
    <col min="8" max="8" width="19.7109375" customWidth="1"/>
    <col min="9" max="9" width="18.140625" customWidth="1"/>
  </cols>
  <sheetData>
    <row r="1" spans="1:9" ht="23.25" customHeight="1" x14ac:dyDescent="0.25">
      <c r="A1" s="2" t="s">
        <v>12</v>
      </c>
      <c r="B1" s="2" t="s">
        <v>13</v>
      </c>
      <c r="C1" s="2" t="s">
        <v>30</v>
      </c>
      <c r="D1" s="2" t="s">
        <v>31</v>
      </c>
      <c r="E1" s="2" t="s">
        <v>32</v>
      </c>
      <c r="F1" s="2" t="s">
        <v>17</v>
      </c>
      <c r="G1" s="2" t="s">
        <v>33</v>
      </c>
      <c r="H1" s="2" t="s">
        <v>18</v>
      </c>
      <c r="I1" s="2" t="s">
        <v>34</v>
      </c>
    </row>
    <row r="2" spans="1:9" ht="22.5" customHeight="1" x14ac:dyDescent="0.25">
      <c r="A2" s="2" t="s">
        <v>27</v>
      </c>
      <c r="B2" s="7">
        <v>6000000</v>
      </c>
      <c r="C2" s="7">
        <f t="shared" ref="C2:C10" si="0">B2*0.2183</f>
        <v>1309800</v>
      </c>
      <c r="D2" s="7">
        <f t="shared" ref="D2:D10" si="1">B2*0.1252</f>
        <v>751200</v>
      </c>
      <c r="E2" s="7">
        <f t="shared" ref="E2:E10" si="2">B2*0.04</f>
        <v>240000</v>
      </c>
      <c r="F2" s="7">
        <f t="shared" ref="F2:F10" si="3">G2/30</f>
        <v>276700</v>
      </c>
      <c r="G2" s="7">
        <f t="shared" ref="G2:G10" si="4">SUM(B2:E2)</f>
        <v>8301000</v>
      </c>
      <c r="H2" s="7">
        <f t="shared" ref="H2:H10" si="5">G2*12</f>
        <v>99612000</v>
      </c>
      <c r="I2" s="7">
        <f t="shared" ref="I2:I10" si="6">F2/8</f>
        <v>34587.5</v>
      </c>
    </row>
    <row r="3" spans="1:9" ht="21" customHeight="1" x14ac:dyDescent="0.25">
      <c r="A3" s="2" t="s">
        <v>19</v>
      </c>
      <c r="B3" s="7">
        <v>4500000</v>
      </c>
      <c r="C3" s="7">
        <f t="shared" si="0"/>
        <v>982350</v>
      </c>
      <c r="D3" s="7">
        <f t="shared" si="1"/>
        <v>563400</v>
      </c>
      <c r="E3" s="7">
        <f t="shared" si="2"/>
        <v>180000</v>
      </c>
      <c r="F3" s="7">
        <f t="shared" si="3"/>
        <v>207525</v>
      </c>
      <c r="G3" s="7">
        <f t="shared" si="4"/>
        <v>6225750</v>
      </c>
      <c r="H3" s="7">
        <f t="shared" si="5"/>
        <v>74709000</v>
      </c>
      <c r="I3" s="7">
        <f t="shared" si="6"/>
        <v>25940.625</v>
      </c>
    </row>
    <row r="4" spans="1:9" ht="19.5" customHeight="1" x14ac:dyDescent="0.25">
      <c r="A4" s="2" t="s">
        <v>20</v>
      </c>
      <c r="B4" s="7">
        <v>2800000</v>
      </c>
      <c r="C4" s="7">
        <f t="shared" si="0"/>
        <v>611240</v>
      </c>
      <c r="D4" s="7">
        <f t="shared" si="1"/>
        <v>350560</v>
      </c>
      <c r="E4" s="7">
        <f t="shared" si="2"/>
        <v>112000</v>
      </c>
      <c r="F4" s="7">
        <f t="shared" si="3"/>
        <v>129126.66666666667</v>
      </c>
      <c r="G4" s="7">
        <f t="shared" si="4"/>
        <v>3873800</v>
      </c>
      <c r="H4" s="7">
        <f t="shared" si="5"/>
        <v>46485600</v>
      </c>
      <c r="I4" s="7">
        <f t="shared" si="6"/>
        <v>16140.833333333334</v>
      </c>
    </row>
    <row r="5" spans="1:9" ht="18" customHeight="1" x14ac:dyDescent="0.25">
      <c r="A5" s="2" t="s">
        <v>21</v>
      </c>
      <c r="B5" s="7">
        <v>2800000</v>
      </c>
      <c r="C5" s="7">
        <f t="shared" si="0"/>
        <v>611240</v>
      </c>
      <c r="D5" s="7">
        <f t="shared" si="1"/>
        <v>350560</v>
      </c>
      <c r="E5" s="7">
        <f t="shared" si="2"/>
        <v>112000</v>
      </c>
      <c r="F5" s="7">
        <f t="shared" si="3"/>
        <v>129126.66666666667</v>
      </c>
      <c r="G5" s="7">
        <f t="shared" si="4"/>
        <v>3873800</v>
      </c>
      <c r="H5" s="7">
        <f t="shared" si="5"/>
        <v>46485600</v>
      </c>
      <c r="I5" s="7">
        <f t="shared" si="6"/>
        <v>16140.833333333334</v>
      </c>
    </row>
    <row r="6" spans="1:9" ht="19.5" customHeight="1" x14ac:dyDescent="0.25">
      <c r="A6" s="2" t="s">
        <v>35</v>
      </c>
      <c r="B6" s="7">
        <v>3300000</v>
      </c>
      <c r="C6" s="7">
        <f t="shared" si="0"/>
        <v>720390</v>
      </c>
      <c r="D6" s="7">
        <f t="shared" si="1"/>
        <v>413160</v>
      </c>
      <c r="E6" s="7">
        <f t="shared" si="2"/>
        <v>132000</v>
      </c>
      <c r="F6" s="7">
        <f t="shared" si="3"/>
        <v>152185</v>
      </c>
      <c r="G6" s="7">
        <f t="shared" si="4"/>
        <v>4565550</v>
      </c>
      <c r="H6" s="7">
        <f t="shared" si="5"/>
        <v>54786600</v>
      </c>
      <c r="I6" s="7">
        <f t="shared" si="6"/>
        <v>19023.125</v>
      </c>
    </row>
    <row r="7" spans="1:9" ht="20.25" customHeight="1" x14ac:dyDescent="0.25">
      <c r="A7" s="2" t="s">
        <v>36</v>
      </c>
      <c r="B7" s="7">
        <v>3300000</v>
      </c>
      <c r="C7" s="7">
        <f t="shared" si="0"/>
        <v>720390</v>
      </c>
      <c r="D7" s="7">
        <f>B7*0.1252</f>
        <v>413160</v>
      </c>
      <c r="E7" s="7">
        <f>B7*0.04</f>
        <v>132000</v>
      </c>
      <c r="F7" s="7">
        <f>G7/30</f>
        <v>152185</v>
      </c>
      <c r="G7" s="7">
        <f>SUM(B7:E7)</f>
        <v>4565550</v>
      </c>
      <c r="H7" s="7">
        <f t="shared" si="5"/>
        <v>54786600</v>
      </c>
      <c r="I7" s="7">
        <f t="shared" ref="I7" si="7">F7/8</f>
        <v>19023.125</v>
      </c>
    </row>
    <row r="8" spans="1:9" ht="22.5" customHeight="1" x14ac:dyDescent="0.25">
      <c r="A8" s="2" t="s">
        <v>23</v>
      </c>
      <c r="B8" s="7">
        <v>4000000</v>
      </c>
      <c r="C8" s="7">
        <f t="shared" si="0"/>
        <v>873200</v>
      </c>
      <c r="D8" s="7">
        <f t="shared" si="1"/>
        <v>500800</v>
      </c>
      <c r="E8" s="7">
        <f t="shared" si="2"/>
        <v>160000</v>
      </c>
      <c r="F8" s="7">
        <f t="shared" si="3"/>
        <v>184466.66666666666</v>
      </c>
      <c r="G8" s="7">
        <f t="shared" si="4"/>
        <v>5534000</v>
      </c>
      <c r="H8" s="7">
        <f t="shared" si="5"/>
        <v>66408000</v>
      </c>
      <c r="I8" s="7">
        <f t="shared" si="6"/>
        <v>23058.333333333332</v>
      </c>
    </row>
    <row r="9" spans="1:9" ht="20.25" customHeight="1" x14ac:dyDescent="0.25">
      <c r="A9" s="2" t="s">
        <v>28</v>
      </c>
      <c r="B9" s="7">
        <v>3200000</v>
      </c>
      <c r="C9" s="7">
        <f t="shared" si="0"/>
        <v>698560</v>
      </c>
      <c r="D9" s="7">
        <f t="shared" si="1"/>
        <v>400640</v>
      </c>
      <c r="E9" s="7">
        <f t="shared" si="2"/>
        <v>128000</v>
      </c>
      <c r="F9" s="7">
        <f t="shared" si="3"/>
        <v>147573.33333333334</v>
      </c>
      <c r="G9" s="7">
        <f t="shared" si="4"/>
        <v>4427200</v>
      </c>
      <c r="H9" s="7">
        <f t="shared" si="5"/>
        <v>53126400</v>
      </c>
      <c r="I9" s="7">
        <f t="shared" si="6"/>
        <v>18446.666666666668</v>
      </c>
    </row>
    <row r="10" spans="1:9" ht="21.75" customHeight="1" x14ac:dyDescent="0.25">
      <c r="A10" s="2" t="s">
        <v>29</v>
      </c>
      <c r="B10" s="7">
        <v>3500000</v>
      </c>
      <c r="C10" s="7">
        <f t="shared" si="0"/>
        <v>764050</v>
      </c>
      <c r="D10" s="7">
        <f t="shared" si="1"/>
        <v>438200</v>
      </c>
      <c r="E10" s="7">
        <f t="shared" si="2"/>
        <v>140000</v>
      </c>
      <c r="F10" s="7">
        <f t="shared" si="3"/>
        <v>161408.33333333334</v>
      </c>
      <c r="G10" s="7">
        <f t="shared" si="4"/>
        <v>4842250</v>
      </c>
      <c r="H10" s="7">
        <f t="shared" si="5"/>
        <v>58107000</v>
      </c>
      <c r="I10" s="7">
        <f t="shared" si="6"/>
        <v>20176.041666666668</v>
      </c>
    </row>
    <row r="11" spans="1:9" ht="34.5" customHeight="1" x14ac:dyDescent="0.25">
      <c r="A11" s="2" t="s">
        <v>24</v>
      </c>
      <c r="B11" s="7">
        <f>SUM(B2:B10)</f>
        <v>33400000</v>
      </c>
      <c r="C11" s="7">
        <f>SUM(C2:C10)</f>
        <v>7291220</v>
      </c>
      <c r="D11" s="7">
        <f>SUM(D2:D10)</f>
        <v>4181680</v>
      </c>
      <c r="E11" s="7">
        <f>SUM(E2:E10)</f>
        <v>1336000</v>
      </c>
      <c r="F11" s="7">
        <f>SUM(F2:F10)</f>
        <v>1540296.6666666665</v>
      </c>
      <c r="G11" s="7">
        <f>SUM(G2:G10)</f>
        <v>46208900</v>
      </c>
      <c r="H11" s="7">
        <f>SUM(H2:H10)</f>
        <v>554506800</v>
      </c>
      <c r="I11" s="7">
        <f>SUM(I2:I10)</f>
        <v>192537.08333333331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2026-09-10T21:54:16Z</dcterms:created>
  <dcterms:modified xsi:type="dcterms:W3CDTF">2026-09-15T21:01:52Z</dcterms:modified>
</cp:coreProperties>
</file>